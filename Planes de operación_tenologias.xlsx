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om-my.sharepoint.com/personal/mateo_rodriguez_idom_com/Documents/Escritorio/Tecnologia_buses/"/>
    </mc:Choice>
  </mc:AlternateContent>
  <xr:revisionPtr revIDLastSave="209" documentId="8_{0A57E7E6-CDA8-401A-BBD9-8E5F970D2806}" xr6:coauthVersionLast="47" xr6:coauthVersionMax="47" xr10:uidLastSave="{E493C7D1-3F07-4496-8B66-08061E17C517}"/>
  <bookViews>
    <workbookView xWindow="-25305" yWindow="-4185" windowWidth="12810" windowHeight="15135" firstSheet="2" activeTab="3" xr2:uid="{3C259509-320D-4E0F-80E6-50C4AA9A57C0}"/>
  </bookViews>
  <sheets>
    <sheet name="Resumen" sheetId="9" r:id="rId1"/>
    <sheet name="Diesel" sheetId="1" r:id="rId2"/>
    <sheet name="Carga Nocturna" sheetId="2" r:id="rId3"/>
    <sheet name="$_carga_noctura" sheetId="10" r:id="rId4"/>
    <sheet name="Carga Flash" sheetId="7" r:id="rId5"/>
    <sheet name="Carga por oportunidad" sheetId="8" r:id="rId6"/>
    <sheet name="Hidrogeno en cochera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C10" i="10"/>
  <c r="C9" i="10"/>
  <c r="D5" i="10"/>
  <c r="D6" i="10"/>
  <c r="D4" i="10"/>
  <c r="C5" i="10"/>
  <c r="C4" i="10"/>
  <c r="H2" i="4"/>
  <c r="L6" i="9"/>
  <c r="L5" i="9"/>
  <c r="L3" i="9"/>
  <c r="L4" i="9"/>
  <c r="L2" i="9"/>
  <c r="K2" i="9"/>
  <c r="I4" i="9"/>
  <c r="I3" i="9"/>
  <c r="I2" i="9"/>
  <c r="B7" i="9"/>
  <c r="B16" i="1"/>
  <c r="B15" i="1"/>
  <c r="B8" i="2"/>
  <c r="E12" i="9"/>
  <c r="E11" i="9"/>
  <c r="E10" i="9"/>
  <c r="B21" i="2"/>
  <c r="C4" i="9" s="1"/>
  <c r="F4" i="9"/>
  <c r="E4" i="9"/>
  <c r="F3" i="9"/>
  <c r="B18" i="8"/>
  <c r="B17" i="8"/>
  <c r="B20" i="8" s="1"/>
  <c r="B21" i="8" s="1"/>
  <c r="B13" i="7"/>
  <c r="C3" i="9"/>
  <c r="H2" i="1"/>
  <c r="H5" i="4"/>
  <c r="H7" i="4" s="1"/>
  <c r="F5" i="9" s="1"/>
  <c r="H4" i="4" l="1"/>
  <c r="B8" i="8" l="1"/>
  <c r="D8" i="8"/>
  <c r="H8" i="8"/>
  <c r="D8" i="7"/>
  <c r="B8" i="7" s="1"/>
  <c r="H8" i="7" s="1"/>
  <c r="H9" i="7" s="1"/>
  <c r="H8" i="2"/>
  <c r="H9" i="2" s="1"/>
  <c r="D8" i="2"/>
  <c r="B16" i="8"/>
  <c r="B13" i="8"/>
  <c r="B14" i="8" s="1"/>
  <c r="D6" i="8"/>
  <c r="D4" i="8"/>
  <c r="B14" i="7"/>
  <c r="B25" i="7" s="1"/>
  <c r="D6" i="7"/>
  <c r="D4" i="7"/>
  <c r="B16" i="7" s="1"/>
  <c r="B17" i="7" s="1"/>
  <c r="B15" i="4"/>
  <c r="B19" i="4" s="1"/>
  <c r="D6" i="4"/>
  <c r="D4" i="4"/>
  <c r="B10" i="4" s="1"/>
  <c r="B11" i="4" s="1"/>
  <c r="B12" i="4" s="1"/>
  <c r="B14" i="4" s="1"/>
  <c r="D6" i="2"/>
  <c r="B17" i="2"/>
  <c r="B20" i="2" s="1"/>
  <c r="D4" i="2"/>
  <c r="B12" i="2" s="1"/>
  <c r="B13" i="2" s="1"/>
  <c r="B14" i="2" s="1"/>
  <c r="B20" i="1"/>
  <c r="B3" i="9" s="1"/>
  <c r="D6" i="1"/>
  <c r="D4" i="1"/>
  <c r="B10" i="1" s="1"/>
  <c r="B11" i="1" s="1"/>
  <c r="B12" i="1" s="1"/>
  <c r="B4" i="9" s="1"/>
  <c r="H9" i="8" l="1"/>
  <c r="B25" i="8"/>
  <c r="B22" i="8"/>
  <c r="B24" i="8" s="1"/>
  <c r="B18" i="7"/>
  <c r="B20" i="7" s="1"/>
  <c r="B18" i="2"/>
  <c r="H12" i="2" s="1"/>
  <c r="C11" i="9" s="1"/>
  <c r="B21" i="1"/>
  <c r="B17" i="1"/>
  <c r="H4" i="1" s="1"/>
  <c r="H5" i="1" s="1"/>
  <c r="H7" i="1" s="1"/>
  <c r="B5" i="9" s="1"/>
  <c r="H13" i="2" l="1"/>
  <c r="C10" i="9" s="1"/>
  <c r="H13" i="8"/>
  <c r="B26" i="8"/>
  <c r="E3" i="9" s="1"/>
  <c r="H15" i="8"/>
  <c r="H12" i="8"/>
  <c r="B21" i="7"/>
  <c r="B26" i="7"/>
  <c r="D4" i="9" s="1"/>
  <c r="B20" i="4"/>
  <c r="B16" i="4"/>
  <c r="B23" i="7" l="1"/>
  <c r="H15" i="7" s="1"/>
  <c r="D12" i="9" s="1"/>
  <c r="B22" i="7"/>
  <c r="D3" i="9" s="1"/>
  <c r="H13" i="7"/>
  <c r="D10" i="9" s="1"/>
  <c r="H12" i="7"/>
  <c r="D11" i="9" s="1"/>
</calcChain>
</file>

<file path=xl/sharedStrings.xml><?xml version="1.0" encoding="utf-8"?>
<sst xmlns="http://schemas.openxmlformats.org/spreadsheetml/2006/main" count="283" uniqueCount="90">
  <si>
    <t>Km</t>
  </si>
  <si>
    <t>Trazado</t>
  </si>
  <si>
    <t>Velocidad</t>
  </si>
  <si>
    <t>km/h</t>
  </si>
  <si>
    <t xml:space="preserve">km </t>
  </si>
  <si>
    <t>Tiempo de servicio</t>
  </si>
  <si>
    <t>min</t>
  </si>
  <si>
    <t>Tiempo entre servicio</t>
  </si>
  <si>
    <t xml:space="preserve">min </t>
  </si>
  <si>
    <t>km/min</t>
  </si>
  <si>
    <t>Tiempo ida</t>
  </si>
  <si>
    <t>Tiempo ida+vuelta</t>
  </si>
  <si>
    <t>Tiempo ida + ES</t>
  </si>
  <si>
    <t>Frecuencia</t>
  </si>
  <si>
    <t>Flota requerida</t>
  </si>
  <si>
    <t>Km al día</t>
  </si>
  <si>
    <t># de salidas</t>
  </si>
  <si>
    <t>Km al día x veh</t>
  </si>
  <si>
    <t>(comerciales)</t>
  </si>
  <si>
    <t>Km en vacio</t>
  </si>
  <si>
    <t>% del comercial</t>
  </si>
  <si>
    <t>Autonomia Diesel</t>
  </si>
  <si>
    <t>Autonomia + SOC 20%</t>
  </si>
  <si>
    <t>Autonomia Eléctrico</t>
  </si>
  <si>
    <t>Flota reuqerida</t>
  </si>
  <si>
    <t>Ciclos</t>
  </si>
  <si>
    <t>Tiempo de carga</t>
  </si>
  <si>
    <t>(totales)</t>
  </si>
  <si>
    <t>Autonomia Hidrogeno</t>
  </si>
  <si>
    <t>kw</t>
  </si>
  <si>
    <t>Energia Cargador</t>
  </si>
  <si>
    <t>Energia recuperada</t>
  </si>
  <si>
    <t>Consumo</t>
  </si>
  <si>
    <t>kwh/km</t>
  </si>
  <si>
    <t>Energia recuperada 90&amp;</t>
  </si>
  <si>
    <t>Km requeridos x bus</t>
  </si>
  <si>
    <t>Km faltantes</t>
  </si>
  <si>
    <t>Mini cargas</t>
  </si>
  <si>
    <t>Flota</t>
  </si>
  <si>
    <t>Repostaje</t>
  </si>
  <si>
    <t>Bateria</t>
  </si>
  <si>
    <t>Kw</t>
  </si>
  <si>
    <t>Kwh/km</t>
  </si>
  <si>
    <t>Energia cargador</t>
  </si>
  <si>
    <t>Kwh</t>
  </si>
  <si>
    <t>Tiempo de carga nocturna</t>
  </si>
  <si>
    <t>h</t>
  </si>
  <si>
    <t>Energia a cargar</t>
  </si>
  <si>
    <t>Potencia real</t>
  </si>
  <si>
    <t>%</t>
  </si>
  <si>
    <t>Franja de carga</t>
  </si>
  <si>
    <t>N de cargadores requeridos</t>
  </si>
  <si>
    <t>Energia requerida en el trazado</t>
  </si>
  <si>
    <t>este valor no puede ser mayor al numero de ciclos</t>
  </si>
  <si>
    <t>Eficiencia Hidrogeno</t>
  </si>
  <si>
    <t>Litros a repostar x bus</t>
  </si>
  <si>
    <t>Km a repostar</t>
  </si>
  <si>
    <t>Litros a repostar flota</t>
  </si>
  <si>
    <t>Ratio consumo Diesel</t>
  </si>
  <si>
    <t>l</t>
  </si>
  <si>
    <t>Bateria bus</t>
  </si>
  <si>
    <t xml:space="preserve">Energia requerida en cochera </t>
  </si>
  <si>
    <t>Diesel</t>
  </si>
  <si>
    <t>Carga Nocturna</t>
  </si>
  <si>
    <t>Carga Flash</t>
  </si>
  <si>
    <t>Carga por oportunidad</t>
  </si>
  <si>
    <t>Hidrogeno</t>
  </si>
  <si>
    <t>Km recorridos</t>
  </si>
  <si>
    <t>Litros</t>
  </si>
  <si>
    <t>Potencia requerida en patio</t>
  </si>
  <si>
    <t>Numero de cargadores en el patio</t>
  </si>
  <si>
    <t>Potencia requerida en cabecera</t>
  </si>
  <si>
    <t>Km totales</t>
  </si>
  <si>
    <t>-</t>
  </si>
  <si>
    <t>Indicadores</t>
  </si>
  <si>
    <t>Km recorridos al año</t>
  </si>
  <si>
    <t>Tipico</t>
  </si>
  <si>
    <t>Sabado</t>
  </si>
  <si>
    <t>Capex</t>
  </si>
  <si>
    <t># de vehiculos</t>
  </si>
  <si>
    <t># de cargadores</t>
  </si>
  <si>
    <t>Infraestrucutra requerida</t>
  </si>
  <si>
    <t>Valor</t>
  </si>
  <si>
    <t>Requerimiento</t>
  </si>
  <si>
    <t>Costo unitario</t>
  </si>
  <si>
    <t xml:space="preserve">Tecnologia - Carga Nocturna </t>
  </si>
  <si>
    <t>OPEX</t>
  </si>
  <si>
    <t>Combustible</t>
  </si>
  <si>
    <t>Mantenimiento</t>
  </si>
  <si>
    <t>Batería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</si>
</sst>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 tint="0.149998474074526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3" fontId="0" fillId="0" borderId="0" xfId="1" applyFont="1"/>
    <xf numFmtId="43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0" fontId="0" fillId="2" borderId="0" xfId="0" applyFill="1"/>
    <xf numFmtId="0" fontId="2" fillId="0" borderId="0" xfId="0" applyFont="1"/>
    <xf numFmtId="43" fontId="2" fillId="0" borderId="0" xfId="0" applyNumberFormat="1" applyFont="1"/>
    <xf numFmtId="164" fontId="2" fillId="0" borderId="0" xfId="1" applyNumberFormat="1" applyFont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0" fillId="0" borderId="0" xfId="0" applyFill="1"/>
    <xf numFmtId="43" fontId="0" fillId="2" borderId="0" xfId="0" applyNumberFormat="1" applyFill="1"/>
    <xf numFmtId="165" fontId="0" fillId="2" borderId="0" xfId="0" applyNumberFormat="1" applyFill="1"/>
    <xf numFmtId="2" fontId="2" fillId="0" borderId="0" xfId="0" applyNumberFormat="1" applyFont="1"/>
    <xf numFmtId="2" fontId="2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164" fontId="0" fillId="0" borderId="1" xfId="0" applyNumberFormat="1" applyBorder="1"/>
    <xf numFmtId="0" fontId="2" fillId="0" borderId="2" xfId="0" applyFont="1" applyFill="1" applyBorder="1"/>
    <xf numFmtId="0" fontId="0" fillId="0" borderId="0" xfId="0" applyNumberFormat="1"/>
    <xf numFmtId="9" fontId="0" fillId="0" borderId="0" xfId="2" applyFont="1"/>
    <xf numFmtId="43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13AF-F6AD-4DAF-AC02-C62B1F5BFCD5}">
  <dimension ref="A2:L12"/>
  <sheetViews>
    <sheetView workbookViewId="0">
      <selection activeCell="H9" sqref="H9"/>
    </sheetView>
  </sheetViews>
  <sheetFormatPr baseColWidth="10" defaultRowHeight="15" x14ac:dyDescent="0.25"/>
  <cols>
    <col min="1" max="1" width="31.140625" bestFit="1" customWidth="1"/>
    <col min="5" max="5" width="21.28515625" bestFit="1" customWidth="1"/>
  </cols>
  <sheetData>
    <row r="2" spans="1:12" x14ac:dyDescent="0.25">
      <c r="A2" s="21" t="s">
        <v>74</v>
      </c>
      <c r="B2" s="21" t="s">
        <v>62</v>
      </c>
      <c r="C2" s="21" t="s">
        <v>63</v>
      </c>
      <c r="D2" s="21" t="s">
        <v>64</v>
      </c>
      <c r="E2" s="21" t="s">
        <v>65</v>
      </c>
      <c r="F2" s="21" t="s">
        <v>66</v>
      </c>
      <c r="H2" s="25" t="s">
        <v>76</v>
      </c>
      <c r="I2" s="10">
        <f>C3</f>
        <v>4781.7</v>
      </c>
      <c r="K2">
        <f>360-(K3+K4)</f>
        <v>256</v>
      </c>
      <c r="L2" s="10">
        <f>K2*I2</f>
        <v>1224115.2</v>
      </c>
    </row>
    <row r="3" spans="1:12" x14ac:dyDescent="0.25">
      <c r="A3" s="22" t="s">
        <v>67</v>
      </c>
      <c r="B3" s="18">
        <f>Diesel!B20</f>
        <v>4781.7</v>
      </c>
      <c r="C3" s="18">
        <f>'Carga Nocturna'!B20</f>
        <v>4781.7</v>
      </c>
      <c r="D3" s="18">
        <f>'Carga Flash'!B22</f>
        <v>5382</v>
      </c>
      <c r="E3" s="18">
        <f>'Carga por oportunidad'!B26</f>
        <v>5382</v>
      </c>
      <c r="F3" s="18">
        <f>'Hidrogeno en cochera'!B19</f>
        <v>4781.7</v>
      </c>
      <c r="H3" t="s">
        <v>77</v>
      </c>
      <c r="I3" s="26">
        <f>I2*J3</f>
        <v>3825.36</v>
      </c>
      <c r="J3" s="4">
        <v>0.8</v>
      </c>
      <c r="K3">
        <v>52</v>
      </c>
      <c r="L3" s="10">
        <f t="shared" ref="L3:L4" si="0">K3*I3</f>
        <v>198918.72</v>
      </c>
    </row>
    <row r="4" spans="1:12" x14ac:dyDescent="0.25">
      <c r="A4" s="22" t="s">
        <v>14</v>
      </c>
      <c r="B4" s="24">
        <f>Diesel!B16</f>
        <v>8</v>
      </c>
      <c r="C4" s="24">
        <f>'Carga Nocturna'!B21</f>
        <v>21</v>
      </c>
      <c r="D4" s="24">
        <f>'Carga Flash'!B26</f>
        <v>13</v>
      </c>
      <c r="E4" s="24">
        <f>'Carga por oportunidad'!B25</f>
        <v>13</v>
      </c>
      <c r="F4" s="24">
        <f>'Hidrogeno en cochera'!B14</f>
        <v>13</v>
      </c>
      <c r="I4" s="10">
        <f>J4*I2</f>
        <v>2869.02</v>
      </c>
      <c r="J4" s="4">
        <v>0.6</v>
      </c>
      <c r="K4">
        <v>52</v>
      </c>
      <c r="L4" s="10">
        <f t="shared" si="0"/>
        <v>149189.04</v>
      </c>
    </row>
    <row r="5" spans="1:12" x14ac:dyDescent="0.25">
      <c r="A5" s="22" t="s">
        <v>68</v>
      </c>
      <c r="B5" s="19">
        <f>Diesel!H7</f>
        <v>455.40000000000003</v>
      </c>
      <c r="C5" s="20" t="s">
        <v>73</v>
      </c>
      <c r="D5" s="20" t="s">
        <v>73</v>
      </c>
      <c r="E5" s="20" t="s">
        <v>73</v>
      </c>
      <c r="F5" s="19">
        <f>'Hidrogeno en cochera'!H7</f>
        <v>455.4</v>
      </c>
      <c r="L5" s="10">
        <f>SUM(L2:L4)</f>
        <v>1572222.96</v>
      </c>
    </row>
    <row r="6" spans="1:12" x14ac:dyDescent="0.25">
      <c r="A6" s="23"/>
      <c r="B6">
        <v>360</v>
      </c>
      <c r="L6" s="27">
        <f>1-(L5/B7)</f>
        <v>8.666666666666667E-2</v>
      </c>
    </row>
    <row r="7" spans="1:12" x14ac:dyDescent="0.25">
      <c r="A7" s="23" t="s">
        <v>75</v>
      </c>
      <c r="B7" s="10">
        <f>B3*B6</f>
        <v>1721412</v>
      </c>
    </row>
    <row r="8" spans="1:12" x14ac:dyDescent="0.25">
      <c r="A8" s="23"/>
    </row>
    <row r="9" spans="1:12" x14ac:dyDescent="0.25">
      <c r="A9" s="23"/>
    </row>
    <row r="10" spans="1:12" x14ac:dyDescent="0.25">
      <c r="A10" s="22" t="s">
        <v>69</v>
      </c>
      <c r="B10" s="20" t="s">
        <v>73</v>
      </c>
      <c r="C10" s="18">
        <f>'Carga Nocturna'!H13</f>
        <v>6072</v>
      </c>
      <c r="D10" s="18">
        <f>'Carga Flash'!H13</f>
        <v>4044.4444444444448</v>
      </c>
      <c r="E10" s="18">
        <f>'Carga por oportunidad'!H13</f>
        <v>4044.4444444444448</v>
      </c>
      <c r="F10" s="20" t="s">
        <v>73</v>
      </c>
    </row>
    <row r="11" spans="1:12" x14ac:dyDescent="0.25">
      <c r="A11" s="22" t="s">
        <v>70</v>
      </c>
      <c r="B11" s="20" t="s">
        <v>73</v>
      </c>
      <c r="C11" s="17">
        <f>'Carga Nocturna'!H12</f>
        <v>8</v>
      </c>
      <c r="D11" s="17">
        <f>'Carga Flash'!H12</f>
        <v>5</v>
      </c>
      <c r="E11" s="17">
        <f>'Carga por oportunidad'!H12</f>
        <v>5</v>
      </c>
      <c r="F11" s="20" t="s">
        <v>73</v>
      </c>
    </row>
    <row r="12" spans="1:12" x14ac:dyDescent="0.25">
      <c r="A12" s="22" t="s">
        <v>71</v>
      </c>
      <c r="B12" s="20" t="s">
        <v>73</v>
      </c>
      <c r="C12" s="20" t="s">
        <v>73</v>
      </c>
      <c r="D12" s="18">
        <f>'Carga Flash'!H15</f>
        <v>37700</v>
      </c>
      <c r="E12" s="18">
        <f>'Carga por oportunidad'!H15</f>
        <v>2080</v>
      </c>
      <c r="F12" s="20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F546-0916-4E40-B4D6-352F902C78AB}">
  <dimension ref="A1:I21"/>
  <sheetViews>
    <sheetView topLeftCell="A4" workbookViewId="0">
      <selection activeCell="B9" sqref="B9"/>
    </sheetView>
  </sheetViews>
  <sheetFormatPr baseColWidth="10" defaultRowHeight="15" x14ac:dyDescent="0.25"/>
  <cols>
    <col min="1" max="1" width="17.5703125" bestFit="1" customWidth="1"/>
    <col min="7" max="7" width="20.85546875" bestFit="1" customWidth="1"/>
  </cols>
  <sheetData>
    <row r="1" spans="1:9" x14ac:dyDescent="0.25">
      <c r="A1" s="6" t="s">
        <v>38</v>
      </c>
      <c r="G1" s="6" t="s">
        <v>39</v>
      </c>
    </row>
    <row r="2" spans="1:9" x14ac:dyDescent="0.25">
      <c r="A2" t="s">
        <v>1</v>
      </c>
      <c r="B2">
        <v>23</v>
      </c>
      <c r="C2" t="s">
        <v>4</v>
      </c>
      <c r="D2" t="s">
        <v>18</v>
      </c>
      <c r="G2" t="s">
        <v>58</v>
      </c>
      <c r="H2">
        <f>10/100</f>
        <v>0.1</v>
      </c>
    </row>
    <row r="3" spans="1:9" x14ac:dyDescent="0.25">
      <c r="A3" t="s">
        <v>19</v>
      </c>
      <c r="B3" s="4">
        <v>0.05</v>
      </c>
      <c r="C3" t="s">
        <v>20</v>
      </c>
    </row>
    <row r="4" spans="1:9" x14ac:dyDescent="0.25">
      <c r="A4" t="s">
        <v>2</v>
      </c>
      <c r="B4">
        <v>25</v>
      </c>
      <c r="C4" t="s">
        <v>3</v>
      </c>
      <c r="D4" s="1">
        <f>B4/60</f>
        <v>0.41666666666666669</v>
      </c>
      <c r="E4" t="s">
        <v>9</v>
      </c>
      <c r="G4" t="s">
        <v>56</v>
      </c>
      <c r="H4" s="10">
        <f>B17</f>
        <v>569.25</v>
      </c>
    </row>
    <row r="5" spans="1:9" x14ac:dyDescent="0.25">
      <c r="A5" t="s">
        <v>13</v>
      </c>
      <c r="B5">
        <v>10</v>
      </c>
      <c r="C5" t="s">
        <v>8</v>
      </c>
      <c r="D5" s="1"/>
      <c r="G5" s="6" t="s">
        <v>55</v>
      </c>
      <c r="H5" s="16">
        <f>H4*H2</f>
        <v>56.925000000000004</v>
      </c>
    </row>
    <row r="6" spans="1:9" x14ac:dyDescent="0.25">
      <c r="A6" t="s">
        <v>5</v>
      </c>
      <c r="B6">
        <v>990</v>
      </c>
      <c r="C6" t="s">
        <v>6</v>
      </c>
      <c r="D6">
        <f>B6/B5</f>
        <v>99</v>
      </c>
      <c r="E6" t="s">
        <v>16</v>
      </c>
    </row>
    <row r="7" spans="1:9" x14ac:dyDescent="0.25">
      <c r="A7" t="s">
        <v>7</v>
      </c>
      <c r="B7">
        <v>5</v>
      </c>
      <c r="C7" t="s">
        <v>8</v>
      </c>
      <c r="G7" s="6" t="s">
        <v>57</v>
      </c>
      <c r="H7" s="15">
        <f>H5*B16</f>
        <v>455.40000000000003</v>
      </c>
      <c r="I7" t="s">
        <v>59</v>
      </c>
    </row>
    <row r="8" spans="1:9" x14ac:dyDescent="0.25">
      <c r="A8" t="s">
        <v>21</v>
      </c>
      <c r="B8">
        <v>600</v>
      </c>
      <c r="C8" t="s">
        <v>0</v>
      </c>
    </row>
    <row r="10" spans="1:9" x14ac:dyDescent="0.25">
      <c r="A10" t="s">
        <v>10</v>
      </c>
      <c r="B10" s="2">
        <f>B2/D4</f>
        <v>55.199999999999996</v>
      </c>
      <c r="C10" t="s">
        <v>6</v>
      </c>
    </row>
    <row r="11" spans="1:9" x14ac:dyDescent="0.25">
      <c r="A11" t="s">
        <v>12</v>
      </c>
      <c r="B11" s="2">
        <f>B10+B7</f>
        <v>60.199999999999996</v>
      </c>
      <c r="C11" t="s">
        <v>6</v>
      </c>
    </row>
    <row r="12" spans="1:9" x14ac:dyDescent="0.25">
      <c r="A12" t="s">
        <v>11</v>
      </c>
      <c r="B12" s="2">
        <f>B11*2</f>
        <v>120.39999999999999</v>
      </c>
      <c r="C12" t="s">
        <v>6</v>
      </c>
    </row>
    <row r="15" spans="1:9" x14ac:dyDescent="0.25">
      <c r="A15" t="s">
        <v>15</v>
      </c>
      <c r="B15" s="3">
        <f>((B6/B5)*2)*B2</f>
        <v>4554</v>
      </c>
      <c r="C15" t="s">
        <v>18</v>
      </c>
    </row>
    <row r="16" spans="1:9" x14ac:dyDescent="0.25">
      <c r="A16" s="6" t="s">
        <v>14</v>
      </c>
      <c r="B16" s="7">
        <f>ROUNDUP(B15/B8,0)</f>
        <v>8</v>
      </c>
    </row>
    <row r="17" spans="1:3" x14ac:dyDescent="0.25">
      <c r="A17" t="s">
        <v>17</v>
      </c>
      <c r="B17" s="3">
        <f>B15/B16</f>
        <v>569.25</v>
      </c>
      <c r="C17" t="s">
        <v>18</v>
      </c>
    </row>
    <row r="20" spans="1:3" x14ac:dyDescent="0.25">
      <c r="A20" t="s">
        <v>15</v>
      </c>
      <c r="B20" s="3">
        <f>(B15*B3)+B15</f>
        <v>4781.7</v>
      </c>
      <c r="C20" t="s">
        <v>27</v>
      </c>
    </row>
    <row r="21" spans="1:3" x14ac:dyDescent="0.25">
      <c r="A21" t="s">
        <v>17</v>
      </c>
      <c r="B21" s="3">
        <f>B20/B16</f>
        <v>597.71249999999998</v>
      </c>
      <c r="C21" t="s">
        <v>18</v>
      </c>
    </row>
  </sheetData>
  <conditionalFormatting sqref="B17">
    <cfRule type="cellIs" dxfId="7" priority="2" operator="greaterThan">
      <formula>$B$8</formula>
    </cfRule>
  </conditionalFormatting>
  <conditionalFormatting sqref="B21">
    <cfRule type="cellIs" dxfId="6" priority="1" operator="greaterThan">
      <formula>$B$8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0CC2-BA5B-4DE0-A0D8-32CD07E6A240}">
  <dimension ref="A1:I21"/>
  <sheetViews>
    <sheetView workbookViewId="0">
      <selection activeCell="B18" sqref="B18"/>
    </sheetView>
  </sheetViews>
  <sheetFormatPr baseColWidth="10" defaultRowHeight="15" x14ac:dyDescent="0.25"/>
  <cols>
    <col min="1" max="1" width="19.85546875" bestFit="1" customWidth="1"/>
    <col min="3" max="3" width="15" bestFit="1" customWidth="1"/>
    <col min="4" max="4" width="13.28515625" bestFit="1" customWidth="1"/>
    <col min="7" max="7" width="25.7109375" bestFit="1" customWidth="1"/>
  </cols>
  <sheetData>
    <row r="1" spans="1:9" x14ac:dyDescent="0.25">
      <c r="A1" s="6" t="s">
        <v>38</v>
      </c>
      <c r="G1" s="6" t="s">
        <v>39</v>
      </c>
    </row>
    <row r="2" spans="1:9" x14ac:dyDescent="0.25">
      <c r="A2" t="s">
        <v>1</v>
      </c>
      <c r="B2">
        <v>23</v>
      </c>
      <c r="C2" t="s">
        <v>4</v>
      </c>
      <c r="D2" t="s">
        <v>18</v>
      </c>
      <c r="G2" t="s">
        <v>60</v>
      </c>
      <c r="H2">
        <v>350</v>
      </c>
      <c r="I2" t="s">
        <v>41</v>
      </c>
    </row>
    <row r="3" spans="1:9" x14ac:dyDescent="0.25">
      <c r="A3" t="s">
        <v>19</v>
      </c>
      <c r="B3" s="4">
        <v>0.05</v>
      </c>
      <c r="C3" t="s">
        <v>20</v>
      </c>
      <c r="G3" t="s">
        <v>32</v>
      </c>
      <c r="H3">
        <v>1.2</v>
      </c>
      <c r="I3" t="s">
        <v>42</v>
      </c>
    </row>
    <row r="4" spans="1:9" x14ac:dyDescent="0.25">
      <c r="A4" t="s">
        <v>2</v>
      </c>
      <c r="B4">
        <v>25</v>
      </c>
      <c r="C4" t="s">
        <v>3</v>
      </c>
      <c r="D4" s="1">
        <f>B4/60</f>
        <v>0.41666666666666669</v>
      </c>
      <c r="E4" t="s">
        <v>9</v>
      </c>
    </row>
    <row r="5" spans="1:9" x14ac:dyDescent="0.25">
      <c r="A5" t="s">
        <v>13</v>
      </c>
      <c r="B5">
        <v>10</v>
      </c>
      <c r="C5" t="s">
        <v>8</v>
      </c>
      <c r="D5" s="1"/>
      <c r="G5" t="s">
        <v>43</v>
      </c>
      <c r="H5">
        <v>150</v>
      </c>
      <c r="I5" t="s">
        <v>44</v>
      </c>
    </row>
    <row r="6" spans="1:9" x14ac:dyDescent="0.25">
      <c r="A6" t="s">
        <v>5</v>
      </c>
      <c r="B6">
        <v>990</v>
      </c>
      <c r="C6" t="s">
        <v>6</v>
      </c>
      <c r="D6">
        <f>B6/B5</f>
        <v>99</v>
      </c>
      <c r="E6" t="s">
        <v>16</v>
      </c>
      <c r="G6" t="s">
        <v>50</v>
      </c>
      <c r="H6">
        <v>6</v>
      </c>
      <c r="I6" t="s">
        <v>46</v>
      </c>
    </row>
    <row r="7" spans="1:9" x14ac:dyDescent="0.25">
      <c r="A7" t="s">
        <v>7</v>
      </c>
      <c r="B7">
        <v>5</v>
      </c>
      <c r="C7" t="s">
        <v>8</v>
      </c>
      <c r="G7" t="s">
        <v>48</v>
      </c>
      <c r="H7" s="4">
        <v>0.9</v>
      </c>
      <c r="I7" t="s">
        <v>49</v>
      </c>
    </row>
    <row r="8" spans="1:9" x14ac:dyDescent="0.25">
      <c r="A8" s="5" t="s">
        <v>23</v>
      </c>
      <c r="B8" s="11">
        <f>D8*80%</f>
        <v>233.33333333333337</v>
      </c>
      <c r="C8" t="s">
        <v>0</v>
      </c>
      <c r="D8" s="3">
        <f>H2/H3</f>
        <v>291.66666666666669</v>
      </c>
      <c r="E8" t="s">
        <v>22</v>
      </c>
      <c r="G8" t="s">
        <v>47</v>
      </c>
      <c r="H8" s="10">
        <f>(B8*H3)/H7</f>
        <v>311.11111111111114</v>
      </c>
    </row>
    <row r="9" spans="1:9" x14ac:dyDescent="0.25">
      <c r="A9" s="12"/>
      <c r="B9" s="12"/>
      <c r="G9" t="s">
        <v>45</v>
      </c>
      <c r="H9" s="2">
        <f>H8/H5</f>
        <v>2.0740740740740744</v>
      </c>
      <c r="I9" t="s">
        <v>46</v>
      </c>
    </row>
    <row r="10" spans="1:9" ht="13.5" customHeight="1" x14ac:dyDescent="0.25"/>
    <row r="11" spans="1:9" ht="13.5" customHeight="1" x14ac:dyDescent="0.25"/>
    <row r="12" spans="1:9" x14ac:dyDescent="0.25">
      <c r="A12" t="s">
        <v>10</v>
      </c>
      <c r="B12" s="2">
        <f>B2/D4</f>
        <v>55.199999999999996</v>
      </c>
      <c r="C12" t="s">
        <v>6</v>
      </c>
      <c r="G12" s="6" t="s">
        <v>51</v>
      </c>
      <c r="H12" s="6">
        <f>ROUNDUP((B18*H9)/(H6*0.9),0)</f>
        <v>8</v>
      </c>
      <c r="I12" s="6"/>
    </row>
    <row r="13" spans="1:9" x14ac:dyDescent="0.25">
      <c r="A13" t="s">
        <v>12</v>
      </c>
      <c r="B13" s="2">
        <f>B12+B7</f>
        <v>60.199999999999996</v>
      </c>
      <c r="C13" t="s">
        <v>6</v>
      </c>
      <c r="G13" s="6" t="s">
        <v>61</v>
      </c>
      <c r="H13" s="8">
        <f>H8*B18</f>
        <v>6072</v>
      </c>
      <c r="I13" s="6" t="s">
        <v>41</v>
      </c>
    </row>
    <row r="14" spans="1:9" x14ac:dyDescent="0.25">
      <c r="A14" t="s">
        <v>11</v>
      </c>
      <c r="B14" s="2">
        <f>B13*2</f>
        <v>120.39999999999999</v>
      </c>
      <c r="C14" t="s">
        <v>6</v>
      </c>
      <c r="H14" s="3"/>
    </row>
    <row r="16" spans="1:9" x14ac:dyDescent="0.25">
      <c r="B16" s="2"/>
    </row>
    <row r="17" spans="1:3" x14ac:dyDescent="0.25">
      <c r="A17" t="s">
        <v>15</v>
      </c>
      <c r="B17" s="3">
        <f>((B6/B5)*2)*B2</f>
        <v>4554</v>
      </c>
      <c r="C17" t="s">
        <v>18</v>
      </c>
    </row>
    <row r="18" spans="1:3" x14ac:dyDescent="0.25">
      <c r="A18" s="6" t="s">
        <v>14</v>
      </c>
      <c r="B18" s="8">
        <f>B17/B8</f>
        <v>19.517142857142854</v>
      </c>
    </row>
    <row r="20" spans="1:3" x14ac:dyDescent="0.25">
      <c r="A20" t="s">
        <v>15</v>
      </c>
      <c r="B20" s="3">
        <f>(B17*B3)+B17</f>
        <v>4781.7</v>
      </c>
      <c r="C20" t="s">
        <v>27</v>
      </c>
    </row>
    <row r="21" spans="1:3" x14ac:dyDescent="0.25">
      <c r="A21" s="6" t="s">
        <v>24</v>
      </c>
      <c r="B21" s="8">
        <f>ROUNDUP(B20/B8,0)</f>
        <v>21</v>
      </c>
    </row>
  </sheetData>
  <conditionalFormatting sqref="B18">
    <cfRule type="cellIs" dxfId="5" priority="3" operator="greaterThan">
      <formula>$B$8</formula>
    </cfRule>
  </conditionalFormatting>
  <conditionalFormatting sqref="B21">
    <cfRule type="cellIs" dxfId="4" priority="1" operator="greaterThan">
      <formula>$B$8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49EF-3334-40E9-928F-C29FE1065930}">
  <dimension ref="A1:D11"/>
  <sheetViews>
    <sheetView tabSelected="1" workbookViewId="0">
      <selection activeCell="B9" sqref="B9:B11"/>
    </sheetView>
  </sheetViews>
  <sheetFormatPr baseColWidth="10" defaultRowHeight="15" x14ac:dyDescent="0.25"/>
  <cols>
    <col min="1" max="1" width="23.42578125" bestFit="1" customWidth="1"/>
    <col min="3" max="3" width="13.140625" bestFit="1" customWidth="1"/>
  </cols>
  <sheetData>
    <row r="1" spans="1:4" x14ac:dyDescent="0.25">
      <c r="A1" t="s">
        <v>85</v>
      </c>
      <c r="B1" t="s">
        <v>84</v>
      </c>
      <c r="C1" t="s">
        <v>83</v>
      </c>
      <c r="D1" t="s">
        <v>82</v>
      </c>
    </row>
    <row r="3" spans="1:4" x14ac:dyDescent="0.25">
      <c r="A3" t="s">
        <v>78</v>
      </c>
    </row>
    <row r="4" spans="1:4" x14ac:dyDescent="0.25">
      <c r="A4" t="s">
        <v>79</v>
      </c>
      <c r="B4" s="3">
        <v>550000</v>
      </c>
      <c r="C4">
        <f>'Carga Nocturna'!B21</f>
        <v>21</v>
      </c>
      <c r="D4" s="10">
        <f>B4*C4</f>
        <v>11550000</v>
      </c>
    </row>
    <row r="5" spans="1:4" x14ac:dyDescent="0.25">
      <c r="A5" t="s">
        <v>80</v>
      </c>
      <c r="B5" s="3">
        <v>30000</v>
      </c>
      <c r="C5">
        <f>'Carga Nocturna'!H12</f>
        <v>8</v>
      </c>
      <c r="D5" s="10">
        <f t="shared" ref="D5:D6" si="0">B5*C5</f>
        <v>240000</v>
      </c>
    </row>
    <row r="6" spans="1:4" x14ac:dyDescent="0.25">
      <c r="A6" t="s">
        <v>81</v>
      </c>
      <c r="B6" s="3">
        <v>105000</v>
      </c>
      <c r="C6">
        <v>1</v>
      </c>
      <c r="D6" s="10">
        <f t="shared" si="0"/>
        <v>105000</v>
      </c>
    </row>
    <row r="8" spans="1:4" x14ac:dyDescent="0.25">
      <c r="A8" t="s">
        <v>86</v>
      </c>
    </row>
    <row r="9" spans="1:4" x14ac:dyDescent="0.25">
      <c r="A9" t="s">
        <v>87</v>
      </c>
      <c r="B9" s="28">
        <v>0.19</v>
      </c>
      <c r="C9" s="3">
        <f>'Carga Nocturna'!B17*360</f>
        <v>1639440</v>
      </c>
    </row>
    <row r="10" spans="1:4" x14ac:dyDescent="0.25">
      <c r="A10" t="s">
        <v>88</v>
      </c>
      <c r="B10" s="28">
        <v>0.39</v>
      </c>
      <c r="C10" s="3">
        <f>'Carga Nocturna'!B17*360</f>
        <v>1639440</v>
      </c>
    </row>
    <row r="11" spans="1:4" x14ac:dyDescent="0.25">
      <c r="A11" t="s">
        <v>89</v>
      </c>
      <c r="B11" s="28">
        <v>0.16</v>
      </c>
      <c r="C11" s="3">
        <f>'Carga Nocturna'!B17*360</f>
        <v>1639440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E8C7-2021-4FD8-A404-B13B08117290}">
  <dimension ref="A1:I35"/>
  <sheetViews>
    <sheetView topLeftCell="A4" workbookViewId="0">
      <selection activeCell="B25" sqref="B25"/>
    </sheetView>
  </sheetViews>
  <sheetFormatPr baseColWidth="10" defaultRowHeight="15" x14ac:dyDescent="0.25"/>
  <cols>
    <col min="1" max="1" width="21.5703125" bestFit="1" customWidth="1"/>
    <col min="3" max="3" width="15" bestFit="1" customWidth="1"/>
    <col min="4" max="4" width="13.28515625" bestFit="1" customWidth="1"/>
    <col min="7" max="7" width="26" bestFit="1" customWidth="1"/>
  </cols>
  <sheetData>
    <row r="1" spans="1:9" x14ac:dyDescent="0.25">
      <c r="G1" s="6" t="s">
        <v>39</v>
      </c>
    </row>
    <row r="2" spans="1:9" x14ac:dyDescent="0.25">
      <c r="A2" t="s">
        <v>1</v>
      </c>
      <c r="B2">
        <v>23</v>
      </c>
      <c r="C2" t="s">
        <v>4</v>
      </c>
      <c r="D2" t="s">
        <v>18</v>
      </c>
      <c r="G2" t="s">
        <v>40</v>
      </c>
      <c r="H2">
        <v>350</v>
      </c>
      <c r="I2" t="s">
        <v>41</v>
      </c>
    </row>
    <row r="3" spans="1:9" x14ac:dyDescent="0.25">
      <c r="A3" t="s">
        <v>19</v>
      </c>
      <c r="B3" s="4">
        <v>0.05</v>
      </c>
      <c r="C3" t="s">
        <v>20</v>
      </c>
      <c r="G3" t="s">
        <v>32</v>
      </c>
      <c r="H3">
        <v>1.2</v>
      </c>
      <c r="I3" t="s">
        <v>42</v>
      </c>
    </row>
    <row r="4" spans="1:9" x14ac:dyDescent="0.25">
      <c r="A4" t="s">
        <v>2</v>
      </c>
      <c r="B4">
        <v>25</v>
      </c>
      <c r="C4" t="s">
        <v>3</v>
      </c>
      <c r="D4" s="1">
        <f>B4/60</f>
        <v>0.41666666666666669</v>
      </c>
      <c r="E4" t="s">
        <v>9</v>
      </c>
    </row>
    <row r="5" spans="1:9" x14ac:dyDescent="0.25">
      <c r="A5" t="s">
        <v>13</v>
      </c>
      <c r="B5">
        <v>10</v>
      </c>
      <c r="C5" t="s">
        <v>8</v>
      </c>
      <c r="D5" s="1"/>
      <c r="G5" t="s">
        <v>43</v>
      </c>
      <c r="H5">
        <v>150</v>
      </c>
      <c r="I5" t="s">
        <v>44</v>
      </c>
    </row>
    <row r="6" spans="1:9" x14ac:dyDescent="0.25">
      <c r="A6" t="s">
        <v>5</v>
      </c>
      <c r="B6">
        <v>990</v>
      </c>
      <c r="C6" t="s">
        <v>6</v>
      </c>
      <c r="D6">
        <f>B6/B5</f>
        <v>99</v>
      </c>
      <c r="E6" t="s">
        <v>16</v>
      </c>
      <c r="G6" t="s">
        <v>50</v>
      </c>
      <c r="H6">
        <v>6</v>
      </c>
      <c r="I6" t="s">
        <v>46</v>
      </c>
    </row>
    <row r="7" spans="1:9" x14ac:dyDescent="0.25">
      <c r="A7" t="s">
        <v>7</v>
      </c>
      <c r="B7">
        <v>4.5</v>
      </c>
      <c r="C7" t="s">
        <v>8</v>
      </c>
      <c r="G7" t="s">
        <v>48</v>
      </c>
      <c r="H7" s="4">
        <v>0.9</v>
      </c>
      <c r="I7" t="s">
        <v>49</v>
      </c>
    </row>
    <row r="8" spans="1:9" x14ac:dyDescent="0.25">
      <c r="A8" s="5" t="s">
        <v>23</v>
      </c>
      <c r="B8" s="14">
        <f>D8*0.8</f>
        <v>233.33333333333337</v>
      </c>
      <c r="C8" t="s">
        <v>0</v>
      </c>
      <c r="D8" s="1">
        <f>H2/H3</f>
        <v>291.66666666666669</v>
      </c>
      <c r="E8" t="s">
        <v>22</v>
      </c>
      <c r="G8" t="s">
        <v>47</v>
      </c>
      <c r="H8" s="10">
        <f>(B8*H3)/H7</f>
        <v>311.11111111111114</v>
      </c>
    </row>
    <row r="9" spans="1:9" x14ac:dyDescent="0.25">
      <c r="A9" s="5" t="s">
        <v>26</v>
      </c>
      <c r="B9" s="5">
        <v>0.5</v>
      </c>
      <c r="C9" t="s">
        <v>6</v>
      </c>
      <c r="G9" t="s">
        <v>45</v>
      </c>
      <c r="H9" s="2">
        <f>H8/H5</f>
        <v>2.0740740740740744</v>
      </c>
      <c r="I9" t="s">
        <v>46</v>
      </c>
    </row>
    <row r="10" spans="1:9" x14ac:dyDescent="0.25">
      <c r="A10" s="5" t="s">
        <v>32</v>
      </c>
      <c r="B10" s="5">
        <v>1.2</v>
      </c>
      <c r="C10" t="s">
        <v>33</v>
      </c>
    </row>
    <row r="12" spans="1:9" x14ac:dyDescent="0.25">
      <c r="A12" s="5" t="s">
        <v>30</v>
      </c>
      <c r="B12" s="5">
        <v>200</v>
      </c>
      <c r="C12" t="s">
        <v>29</v>
      </c>
      <c r="G12" s="6" t="s">
        <v>51</v>
      </c>
      <c r="H12" s="6">
        <f>ROUNDUP((B26*H9)/(H6*0.9),0)</f>
        <v>5</v>
      </c>
      <c r="I12" s="6"/>
    </row>
    <row r="13" spans="1:9" x14ac:dyDescent="0.25">
      <c r="A13" t="s">
        <v>31</v>
      </c>
      <c r="B13" s="9">
        <f>(B12*(B9/60))/1.2</f>
        <v>1.3888888888888891</v>
      </c>
      <c r="C13" t="s">
        <v>0</v>
      </c>
      <c r="G13" s="6" t="s">
        <v>61</v>
      </c>
      <c r="H13" s="8">
        <f>H8*B26</f>
        <v>4044.4444444444448</v>
      </c>
      <c r="I13" s="6" t="s">
        <v>41</v>
      </c>
    </row>
    <row r="14" spans="1:9" x14ac:dyDescent="0.25">
      <c r="A14" t="s">
        <v>34</v>
      </c>
      <c r="B14" s="9">
        <f>B13*90%</f>
        <v>1.2500000000000002</v>
      </c>
      <c r="C14" t="s">
        <v>0</v>
      </c>
    </row>
    <row r="15" spans="1:9" x14ac:dyDescent="0.25">
      <c r="G15" s="6" t="s">
        <v>52</v>
      </c>
      <c r="H15" s="8">
        <f>(B12*(1/10))*B25*B26</f>
        <v>37700</v>
      </c>
      <c r="I15" t="s">
        <v>41</v>
      </c>
    </row>
    <row r="16" spans="1:9" x14ac:dyDescent="0.25">
      <c r="A16" t="s">
        <v>10</v>
      </c>
      <c r="B16" s="2">
        <f>B2/D4</f>
        <v>55.199999999999996</v>
      </c>
      <c r="C16" t="s">
        <v>6</v>
      </c>
    </row>
    <row r="17" spans="1:3" x14ac:dyDescent="0.25">
      <c r="A17" t="s">
        <v>12</v>
      </c>
      <c r="B17" s="2">
        <f>B16+B7+B9</f>
        <v>60.199999999999996</v>
      </c>
      <c r="C17" t="s">
        <v>6</v>
      </c>
    </row>
    <row r="18" spans="1:3" x14ac:dyDescent="0.25">
      <c r="A18" t="s">
        <v>11</v>
      </c>
      <c r="B18" s="2">
        <f>B17*2</f>
        <v>120.39999999999999</v>
      </c>
      <c r="C18" t="s">
        <v>6</v>
      </c>
    </row>
    <row r="19" spans="1:3" ht="14.25" customHeight="1" x14ac:dyDescent="0.25"/>
    <row r="20" spans="1:3" x14ac:dyDescent="0.25">
      <c r="A20" t="s">
        <v>25</v>
      </c>
      <c r="B20" s="2">
        <f>ROUNDUP(B6/B18,0)</f>
        <v>9</v>
      </c>
    </row>
    <row r="21" spans="1:3" x14ac:dyDescent="0.25">
      <c r="A21" t="s">
        <v>35</v>
      </c>
      <c r="B21" s="10">
        <f>B20*(B2*2)</f>
        <v>414</v>
      </c>
      <c r="C21" t="s">
        <v>0</v>
      </c>
    </row>
    <row r="22" spans="1:3" x14ac:dyDescent="0.25">
      <c r="A22" t="s">
        <v>72</v>
      </c>
      <c r="B22" s="10">
        <f>B21*B26</f>
        <v>5382</v>
      </c>
    </row>
    <row r="23" spans="1:3" x14ac:dyDescent="0.25">
      <c r="A23" t="s">
        <v>36</v>
      </c>
      <c r="B23" s="10">
        <f>B21-B8</f>
        <v>180.66666666666663</v>
      </c>
      <c r="C23" t="s">
        <v>0</v>
      </c>
    </row>
    <row r="25" spans="1:3" x14ac:dyDescent="0.25">
      <c r="A25" t="s">
        <v>37</v>
      </c>
      <c r="B25" s="2">
        <f>ROUNDUP(B23/B14,0)</f>
        <v>145</v>
      </c>
    </row>
    <row r="26" spans="1:3" x14ac:dyDescent="0.25">
      <c r="A26" s="6" t="s">
        <v>14</v>
      </c>
      <c r="B26" s="7">
        <f>ROUNDUP(B18/B5,0)</f>
        <v>13</v>
      </c>
    </row>
    <row r="27" spans="1:3" x14ac:dyDescent="0.25">
      <c r="B27" s="2"/>
    </row>
    <row r="28" spans="1:3" x14ac:dyDescent="0.25">
      <c r="B28" s="2"/>
    </row>
    <row r="29" spans="1:3" x14ac:dyDescent="0.25">
      <c r="B29" s="2"/>
    </row>
    <row r="30" spans="1:3" x14ac:dyDescent="0.25">
      <c r="B30" s="3"/>
    </row>
    <row r="31" spans="1:3" x14ac:dyDescent="0.25">
      <c r="B31" s="3"/>
    </row>
    <row r="32" spans="1:3" x14ac:dyDescent="0.25">
      <c r="A32" s="6"/>
      <c r="B32" s="6"/>
    </row>
    <row r="33" spans="1:2" x14ac:dyDescent="0.25">
      <c r="B33" s="3"/>
    </row>
    <row r="34" spans="1:2" x14ac:dyDescent="0.25">
      <c r="B34" s="3"/>
    </row>
    <row r="35" spans="1:2" x14ac:dyDescent="0.25">
      <c r="A35" s="6"/>
      <c r="B3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755F-3209-4AD3-AA8D-4005579D73A5}">
  <dimension ref="A1:I34"/>
  <sheetViews>
    <sheetView workbookViewId="0">
      <selection activeCell="B13" sqref="B13"/>
    </sheetView>
  </sheetViews>
  <sheetFormatPr baseColWidth="10" defaultRowHeight="15" x14ac:dyDescent="0.25"/>
  <cols>
    <col min="1" max="1" width="21.5703125" bestFit="1" customWidth="1"/>
    <col min="3" max="3" width="15" bestFit="1" customWidth="1"/>
    <col min="7" max="7" width="26" customWidth="1"/>
  </cols>
  <sheetData>
    <row r="1" spans="1:9" x14ac:dyDescent="0.25">
      <c r="G1" s="6" t="s">
        <v>39</v>
      </c>
    </row>
    <row r="2" spans="1:9" x14ac:dyDescent="0.25">
      <c r="A2" t="s">
        <v>1</v>
      </c>
      <c r="B2">
        <v>23</v>
      </c>
      <c r="C2" t="s">
        <v>4</v>
      </c>
      <c r="D2" t="s">
        <v>18</v>
      </c>
      <c r="G2" t="s">
        <v>40</v>
      </c>
      <c r="H2">
        <v>350</v>
      </c>
      <c r="I2" t="s">
        <v>41</v>
      </c>
    </row>
    <row r="3" spans="1:9" x14ac:dyDescent="0.25">
      <c r="A3" t="s">
        <v>19</v>
      </c>
      <c r="B3" s="4">
        <v>0.05</v>
      </c>
      <c r="C3" t="s">
        <v>20</v>
      </c>
      <c r="G3" t="s">
        <v>32</v>
      </c>
      <c r="H3">
        <v>1.2</v>
      </c>
      <c r="I3" t="s">
        <v>42</v>
      </c>
    </row>
    <row r="4" spans="1:9" x14ac:dyDescent="0.25">
      <c r="A4" t="s">
        <v>2</v>
      </c>
      <c r="B4">
        <v>25</v>
      </c>
      <c r="C4" t="s">
        <v>3</v>
      </c>
      <c r="D4" s="1">
        <f>B4/60</f>
        <v>0.41666666666666669</v>
      </c>
      <c r="E4" t="s">
        <v>9</v>
      </c>
    </row>
    <row r="5" spans="1:9" x14ac:dyDescent="0.25">
      <c r="A5" t="s">
        <v>13</v>
      </c>
      <c r="B5">
        <v>10</v>
      </c>
      <c r="C5" t="s">
        <v>8</v>
      </c>
      <c r="D5" s="1"/>
      <c r="G5" t="s">
        <v>43</v>
      </c>
      <c r="H5">
        <v>150</v>
      </c>
      <c r="I5" t="s">
        <v>44</v>
      </c>
    </row>
    <row r="6" spans="1:9" x14ac:dyDescent="0.25">
      <c r="A6" t="s">
        <v>5</v>
      </c>
      <c r="B6">
        <v>990</v>
      </c>
      <c r="C6" t="s">
        <v>6</v>
      </c>
      <c r="D6">
        <f>B6/B5</f>
        <v>99</v>
      </c>
      <c r="E6" t="s">
        <v>16</v>
      </c>
      <c r="G6" t="s">
        <v>50</v>
      </c>
      <c r="H6">
        <v>6</v>
      </c>
      <c r="I6" t="s">
        <v>46</v>
      </c>
    </row>
    <row r="7" spans="1:9" x14ac:dyDescent="0.25">
      <c r="A7" t="s">
        <v>7</v>
      </c>
      <c r="B7">
        <v>0</v>
      </c>
      <c r="C7" t="s">
        <v>8</v>
      </c>
      <c r="G7" t="s">
        <v>48</v>
      </c>
      <c r="H7" s="4">
        <v>0.9</v>
      </c>
      <c r="I7" t="s">
        <v>49</v>
      </c>
    </row>
    <row r="8" spans="1:9" x14ac:dyDescent="0.25">
      <c r="A8" s="5" t="s">
        <v>23</v>
      </c>
      <c r="B8" s="13">
        <f>D8*0.8</f>
        <v>233.33333333333337</v>
      </c>
      <c r="C8" t="s">
        <v>0</v>
      </c>
      <c r="D8" s="1">
        <f>H2/H3</f>
        <v>291.66666666666669</v>
      </c>
      <c r="E8" t="s">
        <v>22</v>
      </c>
      <c r="G8" t="s">
        <v>47</v>
      </c>
      <c r="H8" s="10">
        <f>(B8*H3)/H7</f>
        <v>311.11111111111114</v>
      </c>
    </row>
    <row r="9" spans="1:9" x14ac:dyDescent="0.25">
      <c r="A9" s="5" t="s">
        <v>26</v>
      </c>
      <c r="B9" s="5">
        <v>10</v>
      </c>
      <c r="C9" t="s">
        <v>6</v>
      </c>
      <c r="G9" t="s">
        <v>45</v>
      </c>
      <c r="H9" s="2">
        <f>H8/H5</f>
        <v>2.0740740740740744</v>
      </c>
      <c r="I9" t="s">
        <v>46</v>
      </c>
    </row>
    <row r="10" spans="1:9" x14ac:dyDescent="0.25">
      <c r="A10" s="5" t="s">
        <v>32</v>
      </c>
      <c r="B10" s="5">
        <v>1.2</v>
      </c>
      <c r="C10" t="s">
        <v>33</v>
      </c>
    </row>
    <row r="12" spans="1:9" x14ac:dyDescent="0.25">
      <c r="A12" s="5" t="s">
        <v>30</v>
      </c>
      <c r="B12" s="5">
        <v>200</v>
      </c>
      <c r="C12" t="s">
        <v>29</v>
      </c>
      <c r="G12" s="6" t="s">
        <v>51</v>
      </c>
      <c r="H12" s="6">
        <f>ROUNDUP((B25*H9)/(H6*0.9),0)</f>
        <v>5</v>
      </c>
      <c r="I12" s="6"/>
    </row>
    <row r="13" spans="1:9" x14ac:dyDescent="0.25">
      <c r="A13" t="s">
        <v>31</v>
      </c>
      <c r="B13" s="9">
        <f>(B12*(1/6))/1.2</f>
        <v>27.777777777777775</v>
      </c>
      <c r="C13" t="s">
        <v>0</v>
      </c>
      <c r="G13" s="6" t="s">
        <v>61</v>
      </c>
      <c r="H13" s="8">
        <f>H8*B25</f>
        <v>4044.4444444444448</v>
      </c>
      <c r="I13" s="6" t="s">
        <v>41</v>
      </c>
    </row>
    <row r="14" spans="1:9" x14ac:dyDescent="0.25">
      <c r="A14" t="s">
        <v>34</v>
      </c>
      <c r="B14">
        <f>B13*90%</f>
        <v>24.999999999999996</v>
      </c>
      <c r="C14" t="s">
        <v>0</v>
      </c>
    </row>
    <row r="15" spans="1:9" x14ac:dyDescent="0.25">
      <c r="G15" s="6" t="s">
        <v>52</v>
      </c>
      <c r="H15" s="8">
        <f>(B12*(1/10))*B24*B25</f>
        <v>2080</v>
      </c>
      <c r="I15" t="s">
        <v>41</v>
      </c>
    </row>
    <row r="16" spans="1:9" x14ac:dyDescent="0.25">
      <c r="A16" t="s">
        <v>10</v>
      </c>
      <c r="B16" s="2">
        <f>B2/D4</f>
        <v>55.199999999999996</v>
      </c>
      <c r="C16" t="s">
        <v>6</v>
      </c>
    </row>
    <row r="17" spans="1:3" x14ac:dyDescent="0.25">
      <c r="A17" t="s">
        <v>12</v>
      </c>
      <c r="B17" s="2">
        <f>B16+B7</f>
        <v>55.199999999999996</v>
      </c>
      <c r="C17" t="s">
        <v>6</v>
      </c>
    </row>
    <row r="18" spans="1:3" x14ac:dyDescent="0.25">
      <c r="A18" t="s">
        <v>11</v>
      </c>
      <c r="B18" s="2">
        <f>(B17*2)+B9</f>
        <v>120.39999999999999</v>
      </c>
      <c r="C18" t="s">
        <v>6</v>
      </c>
    </row>
    <row r="19" spans="1:3" ht="14.25" customHeight="1" x14ac:dyDescent="0.25"/>
    <row r="20" spans="1:3" x14ac:dyDescent="0.25">
      <c r="A20" t="s">
        <v>25</v>
      </c>
      <c r="B20" s="2">
        <f>ROUNDUP(B6/B18,0)</f>
        <v>9</v>
      </c>
    </row>
    <row r="21" spans="1:3" x14ac:dyDescent="0.25">
      <c r="A21" t="s">
        <v>35</v>
      </c>
      <c r="B21" s="10">
        <f>B20*(B2*2)</f>
        <v>414</v>
      </c>
      <c r="C21" t="s">
        <v>0</v>
      </c>
    </row>
    <row r="22" spans="1:3" x14ac:dyDescent="0.25">
      <c r="A22" t="s">
        <v>36</v>
      </c>
      <c r="B22" s="10">
        <f>B21-B8</f>
        <v>180.66666666666663</v>
      </c>
      <c r="C22" t="s">
        <v>0</v>
      </c>
    </row>
    <row r="24" spans="1:3" x14ac:dyDescent="0.25">
      <c r="A24" t="s">
        <v>37</v>
      </c>
      <c r="B24" s="2">
        <f>ROUNDUP(B22/B14,0)</f>
        <v>8</v>
      </c>
      <c r="C24" t="s">
        <v>53</v>
      </c>
    </row>
    <row r="25" spans="1:3" x14ac:dyDescent="0.25">
      <c r="A25" s="6" t="s">
        <v>14</v>
      </c>
      <c r="B25" s="7">
        <f>ROUNDUP(B18/B5,0)</f>
        <v>13</v>
      </c>
    </row>
    <row r="26" spans="1:3" x14ac:dyDescent="0.25">
      <c r="B26" s="10">
        <f>B25*B21</f>
        <v>5382</v>
      </c>
    </row>
    <row r="27" spans="1:3" x14ac:dyDescent="0.25">
      <c r="B27" s="2"/>
    </row>
    <row r="28" spans="1:3" x14ac:dyDescent="0.25">
      <c r="B28" s="2"/>
    </row>
    <row r="29" spans="1:3" x14ac:dyDescent="0.25">
      <c r="B29" s="3"/>
    </row>
    <row r="30" spans="1:3" x14ac:dyDescent="0.25">
      <c r="B30" s="3"/>
    </row>
    <row r="31" spans="1:3" x14ac:dyDescent="0.25">
      <c r="A31" s="6"/>
      <c r="B31" s="6"/>
    </row>
    <row r="32" spans="1:3" x14ac:dyDescent="0.25">
      <c r="B32" s="3"/>
    </row>
    <row r="33" spans="1:2" x14ac:dyDescent="0.25">
      <c r="B33" s="3"/>
    </row>
    <row r="34" spans="1:2" x14ac:dyDescent="0.25">
      <c r="A34" s="6"/>
      <c r="B34" s="6"/>
    </row>
  </sheetData>
  <conditionalFormatting sqref="B24">
    <cfRule type="cellIs" dxfId="3" priority="1" operator="greaterThan">
      <formula>$B$20</formula>
    </cfRule>
    <cfRule type="cellIs" dxfId="2" priority="2" operator="lessThanOrEqual">
      <formula>$B$20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9C48-1F61-440A-AC7B-9BC4CEF3797C}">
  <dimension ref="A1:H20"/>
  <sheetViews>
    <sheetView workbookViewId="0">
      <selection activeCell="H3" sqref="H3"/>
    </sheetView>
  </sheetViews>
  <sheetFormatPr baseColWidth="10" defaultRowHeight="15" x14ac:dyDescent="0.25"/>
  <cols>
    <col min="1" max="1" width="20.42578125" bestFit="1" customWidth="1"/>
    <col min="7" max="7" width="19.28515625" bestFit="1" customWidth="1"/>
  </cols>
  <sheetData>
    <row r="1" spans="1:8" x14ac:dyDescent="0.25">
      <c r="G1" s="6" t="s">
        <v>39</v>
      </c>
    </row>
    <row r="2" spans="1:8" x14ac:dyDescent="0.25">
      <c r="A2" t="s">
        <v>1</v>
      </c>
      <c r="B2">
        <v>23</v>
      </c>
      <c r="C2" t="s">
        <v>4</v>
      </c>
      <c r="D2" t="s">
        <v>18</v>
      </c>
      <c r="G2" t="s">
        <v>54</v>
      </c>
      <c r="H2">
        <f>10/100</f>
        <v>0.1</v>
      </c>
    </row>
    <row r="3" spans="1:8" x14ac:dyDescent="0.25">
      <c r="A3" t="s">
        <v>19</v>
      </c>
      <c r="B3" s="4">
        <v>0.05</v>
      </c>
      <c r="C3" t="s">
        <v>20</v>
      </c>
    </row>
    <row r="4" spans="1:8" x14ac:dyDescent="0.25">
      <c r="A4" t="s">
        <v>2</v>
      </c>
      <c r="B4">
        <v>25</v>
      </c>
      <c r="C4" t="s">
        <v>3</v>
      </c>
      <c r="D4" s="1">
        <f>B4/60</f>
        <v>0.41666666666666669</v>
      </c>
      <c r="E4" t="s">
        <v>9</v>
      </c>
      <c r="G4" t="s">
        <v>56</v>
      </c>
      <c r="H4" s="10">
        <f>B16</f>
        <v>350.30769230769232</v>
      </c>
    </row>
    <row r="5" spans="1:8" x14ac:dyDescent="0.25">
      <c r="A5" t="s">
        <v>13</v>
      </c>
      <c r="B5">
        <v>10</v>
      </c>
      <c r="C5" t="s">
        <v>8</v>
      </c>
      <c r="D5" s="1"/>
      <c r="G5" s="6" t="s">
        <v>55</v>
      </c>
      <c r="H5" s="16">
        <f>H4*H2</f>
        <v>35.030769230769231</v>
      </c>
    </row>
    <row r="6" spans="1:8" x14ac:dyDescent="0.25">
      <c r="A6" t="s">
        <v>5</v>
      </c>
      <c r="B6">
        <v>990</v>
      </c>
      <c r="C6" t="s">
        <v>6</v>
      </c>
      <c r="D6">
        <f>B6/B5</f>
        <v>99</v>
      </c>
      <c r="E6" t="s">
        <v>16</v>
      </c>
    </row>
    <row r="7" spans="1:8" x14ac:dyDescent="0.25">
      <c r="A7" t="s">
        <v>7</v>
      </c>
      <c r="B7">
        <v>5</v>
      </c>
      <c r="C7" t="s">
        <v>8</v>
      </c>
      <c r="G7" s="6" t="s">
        <v>57</v>
      </c>
      <c r="H7" s="15">
        <f>H5*B14</f>
        <v>455.4</v>
      </c>
    </row>
    <row r="8" spans="1:8" x14ac:dyDescent="0.25">
      <c r="A8" s="5" t="s">
        <v>28</v>
      </c>
      <c r="B8" s="5">
        <v>500</v>
      </c>
      <c r="C8" t="s">
        <v>0</v>
      </c>
    </row>
    <row r="10" spans="1:8" x14ac:dyDescent="0.25">
      <c r="A10" t="s">
        <v>10</v>
      </c>
      <c r="B10" s="2">
        <f>B2/D4</f>
        <v>55.199999999999996</v>
      </c>
      <c r="C10" t="s">
        <v>6</v>
      </c>
    </row>
    <row r="11" spans="1:8" x14ac:dyDescent="0.25">
      <c r="A11" t="s">
        <v>12</v>
      </c>
      <c r="B11" s="2">
        <f>B10+B7</f>
        <v>60.199999999999996</v>
      </c>
      <c r="C11" t="s">
        <v>6</v>
      </c>
    </row>
    <row r="12" spans="1:8" x14ac:dyDescent="0.25">
      <c r="A12" t="s">
        <v>11</v>
      </c>
      <c r="B12" s="2">
        <f>B11*2</f>
        <v>120.39999999999999</v>
      </c>
      <c r="C12" t="s">
        <v>6</v>
      </c>
    </row>
    <row r="14" spans="1:8" x14ac:dyDescent="0.25">
      <c r="A14" s="6" t="s">
        <v>14</v>
      </c>
      <c r="B14" s="7">
        <f>ROUNDUP(B12/B5,0)</f>
        <v>13</v>
      </c>
    </row>
    <row r="15" spans="1:8" x14ac:dyDescent="0.25">
      <c r="A15" t="s">
        <v>15</v>
      </c>
      <c r="B15" s="3">
        <f>((B6/B5)*2)*B2</f>
        <v>4554</v>
      </c>
      <c r="C15" t="s">
        <v>18</v>
      </c>
    </row>
    <row r="16" spans="1:8" x14ac:dyDescent="0.25">
      <c r="A16" t="s">
        <v>17</v>
      </c>
      <c r="B16" s="3">
        <f>B15/B14</f>
        <v>350.30769230769232</v>
      </c>
      <c r="C16" t="s">
        <v>18</v>
      </c>
    </row>
    <row r="19" spans="1:3" x14ac:dyDescent="0.25">
      <c r="A19" t="s">
        <v>15</v>
      </c>
      <c r="B19" s="3">
        <f>(B15*B3)+B15</f>
        <v>4781.7</v>
      </c>
      <c r="C19" t="s">
        <v>27</v>
      </c>
    </row>
    <row r="20" spans="1:3" x14ac:dyDescent="0.25">
      <c r="A20" t="s">
        <v>17</v>
      </c>
      <c r="B20" s="3">
        <f>B19/B14</f>
        <v>367.82307692307688</v>
      </c>
      <c r="C20" t="s">
        <v>18</v>
      </c>
    </row>
  </sheetData>
  <conditionalFormatting sqref="B16">
    <cfRule type="cellIs" dxfId="1" priority="2" operator="greaterThan">
      <formula>$B$8</formula>
    </cfRule>
  </conditionalFormatting>
  <conditionalFormatting sqref="B20">
    <cfRule type="cellIs" dxfId="0" priority="1" operator="greaterThan">
      <formula>$B$8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53f977-4183-428f-855c-ffe7328b6f13}" enabled="0" method="" siteId="{b853f977-4183-428f-855c-ffe7328b6f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Diesel</vt:lpstr>
      <vt:lpstr>Carga Nocturna</vt:lpstr>
      <vt:lpstr>$_carga_noctura</vt:lpstr>
      <vt:lpstr>Carga Flash</vt:lpstr>
      <vt:lpstr>Carga por oportunidad</vt:lpstr>
      <vt:lpstr>Hidrogeno en cochera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Rodríguez Salazar</dc:creator>
  <cp:lastModifiedBy>Mateo Rodríguez Salazar</cp:lastModifiedBy>
  <dcterms:created xsi:type="dcterms:W3CDTF">2026-02-18T14:40:31Z</dcterms:created>
  <dcterms:modified xsi:type="dcterms:W3CDTF">2026-02-20T11:38:51Z</dcterms:modified>
</cp:coreProperties>
</file>